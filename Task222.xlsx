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<sst xmlns="http://schemas.openxmlformats.org/spreadsheetml/2006/main" count="67" uniqueCount="45">
  <si>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StudentID</t>
  </si>
  <si>
    <t>Name</t>
  </si>
  <si>
    <t>Age</t>
  </si>
  <si>
    <t>Major</t>
  </si>
  <si>
    <t>GPA</t>
  </si>
  <si>
    <t>Passed_Math</t>
  </si>
  <si>
    <t>Passed_English</t>
  </si>
  <si>
    <t>Scholarship</t>
  </si>
  <si>
    <t>Que1</t>
  </si>
  <si>
    <t>Que2</t>
  </si>
  <si>
    <t>Que3</t>
  </si>
  <si>
    <t>Que4</t>
  </si>
  <si>
    <t>Que5</t>
  </si>
  <si>
    <t>Que6</t>
  </si>
  <si>
    <t>Que7</t>
  </si>
  <si>
    <t>Que8</t>
  </si>
  <si>
    <t>Que9</t>
  </si>
  <si>
    <t>Que10</t>
  </si>
  <si>
    <t>Attendance_Rate</t>
  </si>
  <si>
    <t>Alice</t>
  </si>
  <si>
    <t>Computer Science</t>
  </si>
  <si>
    <t>Yes</t>
  </si>
  <si>
    <t>95%</t>
  </si>
  <si>
    <t>Bob</t>
  </si>
  <si>
    <t>Biology</t>
  </si>
  <si>
    <t>No</t>
  </si>
  <si>
    <t>78%</t>
  </si>
  <si>
    <t>Charlie</t>
  </si>
  <si>
    <t>Engineering</t>
  </si>
  <si>
    <t>92%</t>
  </si>
  <si>
    <t>Diana</t>
  </si>
  <si>
    <t>Business</t>
  </si>
  <si>
    <t>85%</t>
  </si>
  <si>
    <t>Emma</t>
  </si>
  <si>
    <t>Math</t>
  </si>
  <si>
    <t>98%</t>
  </si>
  <si>
    <t>Frank</t>
  </si>
  <si>
    <t>Physics</t>
  </si>
  <si>
    <t>60%</t>
  </si>
  <si>
    <t>Grace</t>
  </si>
  <si>
    <t>Chemistry</t>
  </si>
  <si>
    <t>90%</t>
  </si>
  <si>
    <t>Henry</t>
  </si>
  <si>
    <t>History</t>
  </si>
  <si>
    <t>88%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</si>
</sst>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1"/>
        <bgColor rgb="FF0070C0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topLeftCell="G1" workbookViewId="0">
      <selection activeCell="I1" sqref="I1:R1"/>
    </sheetView>
  </sheetViews>
  <sheetFormatPr defaultColWidth="9" defaultRowHeight="14.4"/>
  <cols>
    <col min="1" max="1" width="12" customWidth="1"/>
    <col min="2" max="2" width="15" customWidth="1"/>
    <col min="3" max="3" width="8" customWidth="1"/>
    <col min="4" max="4" width="20" customWidth="1"/>
    <col min="5" max="5" width="8" customWidth="1"/>
    <col min="6" max="6" width="15" customWidth="1"/>
    <col min="7" max="7" width="16" customWidth="1"/>
    <col min="8" max="8" width="14" customWidth="1"/>
    <col min="9" max="16" width="18" customWidth="1"/>
    <col min="17" max="17" width="22.4444444444444" customWidth="1"/>
    <col min="18" max="19" width="18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3">
        <v>101</v>
      </c>
      <c r="B2" s="3" t="s">
        <v>19</v>
      </c>
      <c r="C2" s="3">
        <v>20</v>
      </c>
      <c r="D2" s="3" t="s">
        <v>20</v>
      </c>
      <c r="E2" s="3">
        <v>3.8</v>
      </c>
      <c r="F2" s="3" t="s">
        <v>21</v>
      </c>
      <c r="G2" s="3" t="s">
        <v>21</v>
      </c>
      <c r="H2" s="3" t="s">
        <v>21</v>
      </c>
      <c r="I2" s="4" t="str">
        <f>IF(AND(E2&gt;=3.5,F2="Yes"),"Pass","Fail")</f>
        <v>Pass</v>
      </c>
      <c r="J2" s="4" t="str">
        <f>IF(OR(H2="Yes",S2&gt;=90%),"Pass","Fail")</f>
        <v>Pass</v>
      </c>
      <c r="K2" s="4" t="str">
        <f>IF(OR(G2="No",E2&lt;3),"Pass","Fail")</f>
        <v>Fail</v>
      </c>
      <c r="L2" s="4" t="str">
        <f>IF(OR(AND(F2="Yes",E2&lt;3.5),AND(F2="No",E2&gt;=3.5)),"Yes","No")</f>
        <v>No</v>
      </c>
      <c r="M2" s="4" t="str">
        <f>IF(AND(F2="No",G2="No"),"Yes","No")</f>
        <v>No</v>
      </c>
      <c r="N2" s="4" t="str">
        <f>IF(AND(C2&lt;=20,E2&gt;=3.5),"Eligible","Not Eligible")</f>
        <v>Eligible</v>
      </c>
      <c r="O2" s="4" t="str">
        <f>IF(AND(OR(H2="Yes",AND(F2="Yes",G2="Yes")),K2&gt;=80%),"Eligible","Not Eligible")</f>
        <v>Eligible</v>
      </c>
      <c r="P2" s="4" t="str">
        <f>IF(OR(AND(H2="No",E2&lt;3),K2&lt;70%),"Yes","No")</f>
        <v>No</v>
      </c>
      <c r="Q2" s="4" t="b">
        <f>AND(OR(H2="Yes",AND(F2="Yes",G2="Yes")),K2&gt;=80%)</f>
        <v>1</v>
      </c>
      <c r="R2" s="4" t="str">
        <f>IF(OR(AND(H2="No",E2&lt;3),K2&lt;70%),"Yes","No")</f>
        <v>No</v>
      </c>
      <c r="S2" s="3" t="s">
        <v>22</v>
      </c>
    </row>
    <row r="3" spans="1:19">
      <c r="A3" s="3">
        <v>102</v>
      </c>
      <c r="B3" s="3" t="s">
        <v>23</v>
      </c>
      <c r="C3" s="3">
        <v>21</v>
      </c>
      <c r="D3" s="3" t="s">
        <v>24</v>
      </c>
      <c r="E3" s="3">
        <v>2.9</v>
      </c>
      <c r="F3" s="3" t="s">
        <v>25</v>
      </c>
      <c r="G3" s="3" t="s">
        <v>21</v>
      </c>
      <c r="H3" s="3" t="s">
        <v>25</v>
      </c>
      <c r="I3" s="4" t="str">
        <f t="shared" ref="I3:I9" si="0">IF(AND(E3&gt;=3.5,F3="Yes"),"Pass","Fail")</f>
        <v>Fail</v>
      </c>
      <c r="J3" s="4" t="str">
        <f t="shared" ref="J3:J9" si="1">IF(OR(H3="Yes",S3&gt;=90%),"Pass","Fail")</f>
        <v>Pass</v>
      </c>
      <c r="K3" s="4" t="str">
        <f t="shared" ref="K3:K9" si="2">IF(OR(G3="No",E3&lt;3),"Pass","Fail")</f>
        <v>Pass</v>
      </c>
      <c r="L3" s="4" t="str">
        <f t="shared" ref="L3:L9" si="3">IF(OR(AND(F3="Yes",E3&lt;3.5),AND(F3="No",E3&gt;=3.5)),"Yes","No")</f>
        <v>No</v>
      </c>
      <c r="M3" s="4" t="str">
        <f t="shared" ref="M3:M9" si="4">IF(AND(F3="No",G3="No"),"Yes","No")</f>
        <v>No</v>
      </c>
      <c r="N3" s="4" t="str">
        <f t="shared" ref="N3:N9" si="5">IF(AND(C3&lt;=20,E3&gt;=3.5),"Eligible","Not Eligible")</f>
        <v>Not Eligible</v>
      </c>
      <c r="O3" s="4" t="str">
        <f t="shared" ref="O3:O9" si="6">IF(AND(OR(H3="Yes",AND(F3="Yes",G3="Yes")),K3&gt;=80%),"Eligible","Not Eligible")</f>
        <v>Not Eligible</v>
      </c>
      <c r="P3" s="4" t="str">
        <f t="shared" ref="P3:P9" si="7">IF(OR(AND(H3="No",E3&lt;3),K3&lt;70%),"Yes","No")</f>
        <v>Yes</v>
      </c>
      <c r="Q3" s="4" t="b">
        <f t="shared" ref="Q3:Q9" si="8">AND(OR(H3="Yes",AND(F3="Yes",G3="Yes")),K3&gt;=80%)</f>
        <v>0</v>
      </c>
      <c r="R3" s="4" t="str">
        <f t="shared" ref="R3:R9" si="9">IF(OR(AND(H3="No",E3&lt;3),K3&lt;70%),"Yes","No")</f>
        <v>Yes</v>
      </c>
      <c r="S3" s="3" t="s">
        <v>26</v>
      </c>
    </row>
    <row r="4" spans="1:19">
      <c r="A4" s="3">
        <v>103</v>
      </c>
      <c r="B4" s="3" t="s">
        <v>27</v>
      </c>
      <c r="C4" s="3">
        <v>19</v>
      </c>
      <c r="D4" s="3" t="s">
        <v>28</v>
      </c>
      <c r="E4" s="3">
        <v>3.5</v>
      </c>
      <c r="F4" s="3" t="s">
        <v>21</v>
      </c>
      <c r="G4" s="3" t="s">
        <v>21</v>
      </c>
      <c r="H4" s="3" t="s">
        <v>21</v>
      </c>
      <c r="I4" s="4" t="str">
        <f t="shared" si="0"/>
        <v>Pass</v>
      </c>
      <c r="J4" s="4" t="str">
        <f t="shared" si="1"/>
        <v>Pass</v>
      </c>
      <c r="K4" s="4" t="str">
        <f t="shared" si="2"/>
        <v>Fail</v>
      </c>
      <c r="L4" s="4" t="str">
        <f t="shared" si="3"/>
        <v>No</v>
      </c>
      <c r="M4" s="4" t="str">
        <f t="shared" si="4"/>
        <v>No</v>
      </c>
      <c r="N4" s="4" t="str">
        <f t="shared" si="5"/>
        <v>Eligible</v>
      </c>
      <c r="O4" s="4" t="str">
        <f t="shared" si="6"/>
        <v>Eligible</v>
      </c>
      <c r="P4" s="4" t="str">
        <f t="shared" si="7"/>
        <v>No</v>
      </c>
      <c r="Q4" s="4" t="b">
        <f t="shared" si="8"/>
        <v>1</v>
      </c>
      <c r="R4" s="4" t="str">
        <f t="shared" si="9"/>
        <v>No</v>
      </c>
      <c r="S4" s="3" t="s">
        <v>29</v>
      </c>
    </row>
    <row r="5" spans="1:19">
      <c r="A5" s="3">
        <v>104</v>
      </c>
      <c r="B5" s="3" t="s">
        <v>30</v>
      </c>
      <c r="C5" s="3">
        <v>22</v>
      </c>
      <c r="D5" s="3" t="s">
        <v>31</v>
      </c>
      <c r="E5" s="3">
        <v>3.2</v>
      </c>
      <c r="F5" s="3" t="s">
        <v>21</v>
      </c>
      <c r="G5" s="3" t="s">
        <v>25</v>
      </c>
      <c r="H5" s="3" t="s">
        <v>25</v>
      </c>
      <c r="I5" s="4" t="str">
        <f t="shared" si="0"/>
        <v>Fail</v>
      </c>
      <c r="J5" s="4" t="str">
        <f t="shared" si="1"/>
        <v>Pass</v>
      </c>
      <c r="K5" s="4" t="str">
        <f t="shared" si="2"/>
        <v>Pass</v>
      </c>
      <c r="L5" s="4" t="str">
        <f t="shared" si="3"/>
        <v>Yes</v>
      </c>
      <c r="M5" s="4" t="str">
        <f t="shared" si="4"/>
        <v>No</v>
      </c>
      <c r="N5" s="4" t="str">
        <f t="shared" si="5"/>
        <v>Not Eligible</v>
      </c>
      <c r="O5" s="4" t="str">
        <f t="shared" si="6"/>
        <v>Not Eligible</v>
      </c>
      <c r="P5" s="4" t="str">
        <f t="shared" si="7"/>
        <v>No</v>
      </c>
      <c r="Q5" s="4" t="b">
        <f t="shared" si="8"/>
        <v>0</v>
      </c>
      <c r="R5" s="4" t="str">
        <f t="shared" si="9"/>
        <v>No</v>
      </c>
      <c r="S5" s="3" t="s">
        <v>32</v>
      </c>
    </row>
    <row r="6" spans="1:19">
      <c r="A6" s="3">
        <v>105</v>
      </c>
      <c r="B6" s="3" t="s">
        <v>33</v>
      </c>
      <c r="C6" s="3">
        <v>20</v>
      </c>
      <c r="D6" s="3" t="s">
        <v>34</v>
      </c>
      <c r="E6" s="3">
        <v>3.9</v>
      </c>
      <c r="F6" s="3" t="s">
        <v>21</v>
      </c>
      <c r="G6" s="3" t="s">
        <v>21</v>
      </c>
      <c r="H6" s="3" t="s">
        <v>21</v>
      </c>
      <c r="I6" s="4" t="str">
        <f t="shared" si="0"/>
        <v>Pass</v>
      </c>
      <c r="J6" s="4" t="str">
        <f t="shared" si="1"/>
        <v>Pass</v>
      </c>
      <c r="K6" s="4" t="str">
        <f t="shared" si="2"/>
        <v>Fail</v>
      </c>
      <c r="L6" s="4" t="str">
        <f t="shared" si="3"/>
        <v>No</v>
      </c>
      <c r="M6" s="4" t="str">
        <f t="shared" si="4"/>
        <v>No</v>
      </c>
      <c r="N6" s="4" t="str">
        <f t="shared" si="5"/>
        <v>Eligible</v>
      </c>
      <c r="O6" s="4" t="str">
        <f t="shared" si="6"/>
        <v>Eligible</v>
      </c>
      <c r="P6" s="4" t="str">
        <f t="shared" si="7"/>
        <v>No</v>
      </c>
      <c r="Q6" s="4" t="b">
        <f t="shared" si="8"/>
        <v>1</v>
      </c>
      <c r="R6" s="4" t="str">
        <f t="shared" si="9"/>
        <v>No</v>
      </c>
      <c r="S6" s="3" t="s">
        <v>35</v>
      </c>
    </row>
    <row r="7" spans="1:19">
      <c r="A7" s="3">
        <v>106</v>
      </c>
      <c r="B7" s="3" t="s">
        <v>36</v>
      </c>
      <c r="C7" s="3">
        <v>21</v>
      </c>
      <c r="D7" s="3" t="s">
        <v>37</v>
      </c>
      <c r="E7" s="3">
        <v>2.5</v>
      </c>
      <c r="F7" s="3" t="s">
        <v>25</v>
      </c>
      <c r="G7" s="3" t="s">
        <v>25</v>
      </c>
      <c r="H7" s="3" t="s">
        <v>25</v>
      </c>
      <c r="I7" s="4" t="str">
        <f t="shared" si="0"/>
        <v>Fail</v>
      </c>
      <c r="J7" s="4" t="str">
        <f t="shared" si="1"/>
        <v>Pass</v>
      </c>
      <c r="K7" s="4" t="str">
        <f t="shared" si="2"/>
        <v>Pass</v>
      </c>
      <c r="L7" s="4" t="str">
        <f t="shared" si="3"/>
        <v>No</v>
      </c>
      <c r="M7" s="4" t="str">
        <f t="shared" si="4"/>
        <v>Yes</v>
      </c>
      <c r="N7" s="4" t="str">
        <f t="shared" si="5"/>
        <v>Not Eligible</v>
      </c>
      <c r="O7" s="4" t="str">
        <f t="shared" si="6"/>
        <v>Not Eligible</v>
      </c>
      <c r="P7" s="4" t="str">
        <f t="shared" si="7"/>
        <v>Yes</v>
      </c>
      <c r="Q7" s="4" t="b">
        <f t="shared" si="8"/>
        <v>0</v>
      </c>
      <c r="R7" s="4" t="str">
        <f t="shared" si="9"/>
        <v>Yes</v>
      </c>
      <c r="S7" s="3" t="s">
        <v>38</v>
      </c>
    </row>
    <row r="8" spans="1:19">
      <c r="A8" s="3">
        <v>107</v>
      </c>
      <c r="B8" s="3" t="s">
        <v>39</v>
      </c>
      <c r="C8" s="3">
        <v>19</v>
      </c>
      <c r="D8" s="3" t="s">
        <v>40</v>
      </c>
      <c r="E8" s="3">
        <v>3.6</v>
      </c>
      <c r="F8" s="3" t="s">
        <v>21</v>
      </c>
      <c r="G8" s="3" t="s">
        <v>21</v>
      </c>
      <c r="H8" s="3" t="s">
        <v>21</v>
      </c>
      <c r="I8" s="4" t="str">
        <f t="shared" si="0"/>
        <v>Pass</v>
      </c>
      <c r="J8" s="4" t="str">
        <f t="shared" si="1"/>
        <v>Pass</v>
      </c>
      <c r="K8" s="4" t="str">
        <f t="shared" si="2"/>
        <v>Fail</v>
      </c>
      <c r="L8" s="4" t="str">
        <f t="shared" si="3"/>
        <v>No</v>
      </c>
      <c r="M8" s="4" t="str">
        <f t="shared" si="4"/>
        <v>No</v>
      </c>
      <c r="N8" s="4" t="str">
        <f t="shared" si="5"/>
        <v>Eligible</v>
      </c>
      <c r="O8" s="4" t="str">
        <f t="shared" si="6"/>
        <v>Eligible</v>
      </c>
      <c r="P8" s="4" t="str">
        <f t="shared" si="7"/>
        <v>No</v>
      </c>
      <c r="Q8" s="4" t="b">
        <f t="shared" si="8"/>
        <v>1</v>
      </c>
      <c r="R8" s="4" t="str">
        <f t="shared" si="9"/>
        <v>No</v>
      </c>
      <c r="S8" s="3" t="s">
        <v>41</v>
      </c>
    </row>
    <row r="9" spans="1:19">
      <c r="A9" s="3">
        <v>108</v>
      </c>
      <c r="B9" s="3" t="s">
        <v>42</v>
      </c>
      <c r="C9" s="3">
        <v>23</v>
      </c>
      <c r="D9" s="3" t="s">
        <v>43</v>
      </c>
      <c r="E9" s="3">
        <v>3.1</v>
      </c>
      <c r="F9" s="3" t="s">
        <v>21</v>
      </c>
      <c r="G9" s="3" t="s">
        <v>25</v>
      </c>
      <c r="H9" s="3" t="s">
        <v>25</v>
      </c>
      <c r="I9" s="4" t="str">
        <f t="shared" si="0"/>
        <v>Fail</v>
      </c>
      <c r="J9" s="4" t="str">
        <f t="shared" si="1"/>
        <v>Pass</v>
      </c>
      <c r="K9" s="4" t="str">
        <f t="shared" si="2"/>
        <v>Pass</v>
      </c>
      <c r="L9" s="4" t="str">
        <f t="shared" si="3"/>
        <v>Yes</v>
      </c>
      <c r="M9" s="4" t="str">
        <f t="shared" si="4"/>
        <v>No</v>
      </c>
      <c r="N9" s="4" t="str">
        <f t="shared" si="5"/>
        <v>Not Eligible</v>
      </c>
      <c r="O9" s="4" t="str">
        <f t="shared" si="6"/>
        <v>Not Eligible</v>
      </c>
      <c r="P9" s="4" t="str">
        <f t="shared" si="7"/>
        <v>No</v>
      </c>
      <c r="Q9" s="4" t="b">
        <f t="shared" si="8"/>
        <v>0</v>
      </c>
      <c r="R9" s="4" t="str">
        <f t="shared" si="9"/>
        <v>No</v>
      </c>
      <c r="S9" s="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2026-09-21T05:58:00Z</dcterms:created>
  <dcterms:modified xsi:type="dcterms:W3CDTF">2026-09-21T17:30:23Z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A460578B8AEB40448028296377AC91A2_13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